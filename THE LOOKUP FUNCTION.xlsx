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8_{83161184-B30A-44EB-A686-F406228EB60B}" xr6:coauthVersionLast="47" xr6:coauthVersionMax="47" xr10:uidLastSave="{00000000-0000-0000-0000-000000000000}"/>
  <bookViews>
    <workbookView xWindow="-108" yWindow="-108" windowWidth="23256" windowHeight="12576" xr2:uid="{5E41F3E5-1B3E-4A60-9405-BE70F172A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C27" i="1"/>
  <c r="D26" i="1"/>
  <c r="F25" i="1"/>
</calcChain>
</file>

<file path=xl/sharedStrings.xml><?xml version="1.0" encoding="utf-8"?>
<sst xmlns="http://schemas.openxmlformats.org/spreadsheetml/2006/main" count="122" uniqueCount="46">
  <si>
    <t>Date2</t>
  </si>
  <si>
    <t>Customer Name</t>
  </si>
  <si>
    <t>Order Priority</t>
  </si>
  <si>
    <t>Order Quantity</t>
  </si>
  <si>
    <t>Sales</t>
  </si>
  <si>
    <t>Discount</t>
  </si>
  <si>
    <t>Ship Mode</t>
  </si>
  <si>
    <t>Profit</t>
  </si>
  <si>
    <t>Region</t>
  </si>
  <si>
    <t>Customer Segment</t>
  </si>
  <si>
    <t>Ruben Dartt</t>
  </si>
  <si>
    <t>Not Specified</t>
  </si>
  <si>
    <t>Regular Air</t>
  </si>
  <si>
    <t>West</t>
  </si>
  <si>
    <t>Corporate</t>
  </si>
  <si>
    <t>Roy Collins</t>
  </si>
  <si>
    <t>High</t>
  </si>
  <si>
    <t>Express Air</t>
  </si>
  <si>
    <t>Prarie</t>
  </si>
  <si>
    <t>Pauline Chand</t>
  </si>
  <si>
    <t>Low</t>
  </si>
  <si>
    <t>Ontario</t>
  </si>
  <si>
    <t>Muhammed MacIntyre</t>
  </si>
  <si>
    <t>Nunavut</t>
  </si>
  <si>
    <t>Small Business</t>
  </si>
  <si>
    <t>Julie Creighton</t>
  </si>
  <si>
    <t>Liz Pelletier</t>
  </si>
  <si>
    <t>Delivery Truck</t>
  </si>
  <si>
    <t>Craig Yedwab</t>
  </si>
  <si>
    <t>Medium</t>
  </si>
  <si>
    <t>Yukon</t>
  </si>
  <si>
    <t>Consumer</t>
  </si>
  <si>
    <t>Jonathan Doherty</t>
  </si>
  <si>
    <t>Tamara Dahlen</t>
  </si>
  <si>
    <t>Critical</t>
  </si>
  <si>
    <t>Keith Dawkins</t>
  </si>
  <si>
    <t>Home Office</t>
  </si>
  <si>
    <t>Arthur Gainer</t>
  </si>
  <si>
    <t>Sample Company A</t>
  </si>
  <si>
    <t>Helen Wasserman</t>
  </si>
  <si>
    <t>Quebec</t>
  </si>
  <si>
    <t>Questions</t>
  </si>
  <si>
    <t xml:space="preserve">1. What Customer Segment does Muhammed MacIntyre fall under? </t>
  </si>
  <si>
    <t xml:space="preserve">2. What was the sales amount on 5/7/2009? </t>
  </si>
  <si>
    <t xml:space="preserve">3. Who was the customer with sales figure 4158.1235? </t>
  </si>
  <si>
    <t>4. Which customer comes from the region Yukon?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</si>
</sst>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Aptos Narrow"/>
      <scheme val="minor"/>
    </font>
    <font>
      <sz val="11"/>
      <color theme="1"/>
      <name val="Calibri"/>
    </font>
    <font>
      <sz val="11"/>
      <color theme="1"/>
      <name val="Aptos Narrow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/>
    <xf numFmtId="1" fontId="3" fillId="0" borderId="0" xfId="0" applyNumberFormat="1" applyFont="1"/>
    <xf numFmtId="164" fontId="2" fillId="0" borderId="0" xfId="0" applyNumberFormat="1" applyFont="1"/>
    <xf numFmtId="2" fontId="3" fillId="0" borderId="0" xfId="0" applyNumberFormat="1" applyFont="1"/>
    <xf numFmtId="0" fontId="3" fillId="0" borderId="0" xfId="0" applyFont="1"/>
    <xf numFmtId="2" fontId="2" fillId="0" borderId="0" xfId="0" applyNumberFormat="1" applyFont="1"/>
    <xf numFmtId="14" fontId="4" fillId="0" borderId="0" xfId="0" applyNumberFormat="1" applyFont="1"/>
    <xf numFmtId="49" fontId="5" fillId="0" borderId="0" xfId="0" applyNumberFormat="1" applyFont="1"/>
    <xf numFmtId="1" fontId="5" fillId="0" borderId="0" xfId="0" applyNumberFormat="1" applyFont="1"/>
    <xf numFmtId="164" fontId="5" fillId="0" borderId="0" xfId="0" applyNumberFormat="1" applyFont="1"/>
    <xf numFmtId="2" fontId="5" fillId="0" borderId="0" xfId="0" applyNumberFormat="1" applyFont="1"/>
    <xf numFmtId="0" fontId="1" fillId="0" borderId="0" xfId="0" applyFont="1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0" fontId="6" fillId="2" borderId="0" xfId="0" applyFont="1" applyFill="1"/>
    <xf numFmtId="49" fontId="0" fillId="3" borderId="0" xfId="0" applyNumberFormat="1" applyFill="1"/>
    <xf numFmtId="2" fontId="0" fillId="3" borderId="0" xfId="0" applyNumberFormat="1" applyFill="1"/>
  </cellXfs>
  <cellStyles count="1">
    <cellStyle name="Normal" xfId="0" builtinId="0"/>
  </cellStyles>
  <dxfs count="19"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19" formatCode="m/d/yyyy"/>
    </dxf>
    <dxf>
      <numFmt numFmtId="30" formatCode="@"/>
    </dxf>
    <dxf>
      <numFmt numFmtId="2" formatCode="0.00"/>
    </dxf>
    <dxf>
      <numFmt numFmtId="30" formatCode="@"/>
    </dxf>
    <dxf>
      <numFmt numFmtId="2" formatCode="0.00"/>
    </dxf>
    <dxf>
      <numFmt numFmtId="30" formatCode="@"/>
    </dxf>
    <dxf>
      <numFmt numFmtId="2" formatCode="0.00"/>
    </dxf>
    <dxf>
      <numFmt numFmtId="164" formatCode="0.0000"/>
    </dxf>
    <dxf>
      <numFmt numFmtId="1" formatCode="0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dd/mm/yyyy"/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</dxfs>
  <tableStyles count="1" defaultTableStyle="TableStyleMedium2" defaultPivotStyle="PivotStyleLight16">
    <tableStyle name="Lookup-style" pivot="0" count="3" xr9:uid="{AECBBF8C-7D5B-482E-9209-A8965C85E080}"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90F73-C2DC-4344-8383-A84E2E9638CB}" name="Table_16" displayName="Table_16" ref="A1:J21">
  <tableColumns count="10">
    <tableColumn id="11" xr3:uid="{302D7E00-A17D-4E07-9110-40F2C9824812}" name="Date2" dataDxfId="15"/>
    <tableColumn id="1" xr3:uid="{B852B5C2-7F52-49B3-AFDE-B50EB62485F2}" name="Customer Name" dataDxfId="14"/>
    <tableColumn id="2" xr3:uid="{BDEF6B7D-611C-4B30-8DA6-12F59B747DEE}" name="Order Priority" dataDxfId="13"/>
    <tableColumn id="3" xr3:uid="{2985BD58-EA00-482B-A8AE-91B10914C0F6}" name="Order Quantity" dataDxfId="12"/>
    <tableColumn id="4" xr3:uid="{F53A5582-B10E-4A25-A2CA-6F68DBD4C5E6}" name="Sales" dataDxfId="11"/>
    <tableColumn id="5" xr3:uid="{9C6BAEFA-6DB5-4A81-BDCE-425CFCED3B22}" name="Discount" dataDxfId="10"/>
    <tableColumn id="6" xr3:uid="{7F77A0AF-C4A5-48F4-80DA-DB6A8CA0989C}" name="Ship Mode" dataDxfId="9"/>
    <tableColumn id="7" xr3:uid="{01AAF65D-F07B-4113-BFB0-067393A25C1C}" name="Profit" dataDxfId="8"/>
    <tableColumn id="8" xr3:uid="{8802B9C7-687E-4D0C-8A57-70CC41497CDB}" name="Region" dataDxfId="7"/>
    <tableColumn id="9" xr3:uid="{AA3C75D9-47A8-4A6E-AE4D-D341921D7F88}" name="Customer Segment" dataDxfId="6"/>
  </tableColumns>
  <tableStyleInfo name="Lookup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69504C-0D05-44A7-8E04-C7AC0C10D686}" name="Table10" displayName="Table10" ref="B24:F28" totalsRowShown="0" headerRowDxfId="5">
  <autoFilter ref="B24:F28" xr:uid="{D569504C-0D05-44A7-8E04-C7AC0C10D686}"/>
  <tableColumns count="5">
    <tableColumn id="1" xr3:uid="{E6DFD919-CB57-4FE6-BD05-997582A98E49}" name="Date2" dataDxfId="4"/>
    <tableColumn id="2" xr3:uid="{ABED75A6-046B-415F-97CA-C629AA2125D2}" name="Customer Name" dataDxfId="3"/>
    <tableColumn id="3" xr3:uid="{E2544200-04BF-4131-843F-8F0F441A4229}" name="Sales" dataDxfId="2"/>
    <tableColumn id="4" xr3:uid="{91F6793C-E0B6-43B2-992D-9ACB5927B567}" name="Region" dataDxfId="1"/>
    <tableColumn id="5" xr3:uid="{6DE2D8EF-3B3C-4480-BBF3-628D4726F9F9}" name="Customer Seg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149A-630D-469A-8870-8793F50F8FFD}">
  <dimension ref="A1:K28"/>
  <sheetViews>
    <sheetView tabSelected="1" workbookViewId="0">
      <selection sqref="A1:XFD1048576"/>
    </sheetView>
  </sheetViews>
  <sheetFormatPr defaultRowHeight="14.4" x14ac:dyDescent="0.3"/>
  <cols>
    <col min="1" max="1" width="12.33203125" customWidth="1"/>
    <col min="2" max="2" width="19" bestFit="1" customWidth="1"/>
    <col min="3" max="3" width="18.33203125" customWidth="1"/>
    <col min="4" max="4" width="13.33203125" customWidth="1"/>
    <col min="5" max="5" width="13.21875" customWidth="1"/>
    <col min="6" max="6" width="18.6640625" customWidth="1"/>
    <col min="7" max="7" width="12.77734375" customWidth="1"/>
    <col min="8" max="8" width="12.5546875" customWidth="1"/>
    <col min="9" max="9" width="13.33203125" customWidth="1"/>
    <col min="10" max="10" width="18.88671875" customWidth="1"/>
    <col min="16" max="16" width="10.6640625" customWidth="1"/>
  </cols>
  <sheetData>
    <row r="1" spans="1:1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2" t="s">
        <v>8</v>
      </c>
      <c r="J1" s="8" t="s">
        <v>9</v>
      </c>
    </row>
    <row r="2" spans="1:11" x14ac:dyDescent="0.3">
      <c r="A2" s="9">
        <v>39935</v>
      </c>
      <c r="B2" s="10" t="s">
        <v>10</v>
      </c>
      <c r="C2" s="10" t="s">
        <v>11</v>
      </c>
      <c r="D2" s="11">
        <v>2</v>
      </c>
      <c r="E2" s="12">
        <v>6.93</v>
      </c>
      <c r="F2" s="13">
        <v>0.01</v>
      </c>
      <c r="G2" s="10" t="s">
        <v>12</v>
      </c>
      <c r="H2" s="13">
        <v>-4.6399999999999997</v>
      </c>
      <c r="I2" s="10" t="s">
        <v>13</v>
      </c>
      <c r="J2" s="13" t="s">
        <v>14</v>
      </c>
    </row>
    <row r="3" spans="1:11" x14ac:dyDescent="0.3">
      <c r="A3" s="9">
        <v>39939</v>
      </c>
      <c r="B3" s="10" t="s">
        <v>15</v>
      </c>
      <c r="C3" s="10" t="s">
        <v>16</v>
      </c>
      <c r="D3" s="11">
        <v>3</v>
      </c>
      <c r="E3" s="12">
        <v>461.89</v>
      </c>
      <c r="F3" s="13">
        <v>0.05</v>
      </c>
      <c r="G3" s="10" t="s">
        <v>17</v>
      </c>
      <c r="H3" s="13">
        <v>-309.82</v>
      </c>
      <c r="I3" s="10" t="s">
        <v>18</v>
      </c>
      <c r="J3" s="13" t="s">
        <v>14</v>
      </c>
    </row>
    <row r="4" spans="1:11" x14ac:dyDescent="0.3">
      <c r="A4" s="9">
        <v>41068</v>
      </c>
      <c r="B4" s="10" t="s">
        <v>19</v>
      </c>
      <c r="C4" s="10" t="s">
        <v>20</v>
      </c>
      <c r="D4" s="11">
        <v>4</v>
      </c>
      <c r="E4" s="12">
        <v>32.72</v>
      </c>
      <c r="F4" s="13">
        <v>0.09</v>
      </c>
      <c r="G4" s="10" t="s">
        <v>12</v>
      </c>
      <c r="H4" s="13">
        <v>-22.59</v>
      </c>
      <c r="I4" s="10" t="s">
        <v>21</v>
      </c>
      <c r="J4" s="13" t="s">
        <v>14</v>
      </c>
      <c r="K4" s="14"/>
    </row>
    <row r="5" spans="1:11" x14ac:dyDescent="0.3">
      <c r="A5" s="9">
        <v>39928</v>
      </c>
      <c r="B5" s="10" t="s">
        <v>22</v>
      </c>
      <c r="C5" s="10" t="s">
        <v>20</v>
      </c>
      <c r="D5" s="11">
        <v>6</v>
      </c>
      <c r="E5" s="12">
        <v>261.54000000000002</v>
      </c>
      <c r="F5" s="13">
        <v>0.04</v>
      </c>
      <c r="G5" s="10" t="s">
        <v>12</v>
      </c>
      <c r="H5" s="13">
        <v>-213.25</v>
      </c>
      <c r="I5" s="10" t="s">
        <v>23</v>
      </c>
      <c r="J5" s="13" t="s">
        <v>24</v>
      </c>
      <c r="K5" s="14"/>
    </row>
    <row r="6" spans="1:11" x14ac:dyDescent="0.3">
      <c r="A6" s="9">
        <v>39926</v>
      </c>
      <c r="B6" s="10" t="s">
        <v>25</v>
      </c>
      <c r="C6" s="10" t="s">
        <v>11</v>
      </c>
      <c r="D6" s="11">
        <v>14</v>
      </c>
      <c r="E6" s="12">
        <v>1892.848</v>
      </c>
      <c r="F6" s="13">
        <v>0.01</v>
      </c>
      <c r="G6" s="10" t="s">
        <v>12</v>
      </c>
      <c r="H6" s="13">
        <v>48.99</v>
      </c>
      <c r="I6" s="10" t="s">
        <v>13</v>
      </c>
      <c r="J6" s="13" t="s">
        <v>14</v>
      </c>
      <c r="K6" s="14"/>
    </row>
    <row r="7" spans="1:11" x14ac:dyDescent="0.3">
      <c r="A7" s="9">
        <v>39932</v>
      </c>
      <c r="B7" s="10" t="s">
        <v>26</v>
      </c>
      <c r="C7" s="10" t="s">
        <v>16</v>
      </c>
      <c r="D7" s="11">
        <v>15</v>
      </c>
      <c r="E7" s="12">
        <v>140.56</v>
      </c>
      <c r="F7" s="13">
        <v>0.04</v>
      </c>
      <c r="G7" s="10" t="s">
        <v>12</v>
      </c>
      <c r="H7" s="13">
        <v>-128.38</v>
      </c>
      <c r="I7" s="10" t="s">
        <v>18</v>
      </c>
      <c r="J7" s="13" t="s">
        <v>14</v>
      </c>
      <c r="K7" s="14"/>
    </row>
    <row r="8" spans="1:11" x14ac:dyDescent="0.3">
      <c r="A8" s="9">
        <v>39931</v>
      </c>
      <c r="B8" s="10" t="s">
        <v>26</v>
      </c>
      <c r="C8" s="10" t="s">
        <v>16</v>
      </c>
      <c r="D8" s="11">
        <v>23</v>
      </c>
      <c r="E8" s="12">
        <v>160.23349999999999</v>
      </c>
      <c r="F8" s="13">
        <v>0.04</v>
      </c>
      <c r="G8" s="10" t="s">
        <v>12</v>
      </c>
      <c r="H8" s="13">
        <v>-85.13</v>
      </c>
      <c r="I8" s="10" t="s">
        <v>13</v>
      </c>
      <c r="J8" s="13" t="s">
        <v>14</v>
      </c>
    </row>
    <row r="9" spans="1:11" x14ac:dyDescent="0.3">
      <c r="A9" s="9">
        <v>39930</v>
      </c>
      <c r="B9" s="10" t="s">
        <v>26</v>
      </c>
      <c r="C9" s="10" t="s">
        <v>16</v>
      </c>
      <c r="D9" s="11">
        <v>24</v>
      </c>
      <c r="E9" s="12">
        <v>1761.4</v>
      </c>
      <c r="F9" s="13">
        <v>0.09</v>
      </c>
      <c r="G9" s="10" t="s">
        <v>27</v>
      </c>
      <c r="H9" s="13">
        <v>-1748.56</v>
      </c>
      <c r="I9" s="10" t="s">
        <v>13</v>
      </c>
      <c r="J9" s="13" t="s">
        <v>14</v>
      </c>
    </row>
    <row r="10" spans="1:11" x14ac:dyDescent="0.3">
      <c r="A10" s="9">
        <v>41025</v>
      </c>
      <c r="B10" s="10" t="s">
        <v>26</v>
      </c>
      <c r="C10" s="10" t="s">
        <v>16</v>
      </c>
      <c r="D10" s="11">
        <v>26</v>
      </c>
      <c r="E10" s="12">
        <v>2808.08</v>
      </c>
      <c r="F10" s="13">
        <v>7.0000000000000007E-2</v>
      </c>
      <c r="G10" s="10" t="s">
        <v>12</v>
      </c>
      <c r="H10" s="13">
        <v>1054.82</v>
      </c>
      <c r="I10" s="10" t="s">
        <v>13</v>
      </c>
      <c r="J10" s="13" t="s">
        <v>14</v>
      </c>
    </row>
    <row r="11" spans="1:11" x14ac:dyDescent="0.3">
      <c r="A11" s="9">
        <v>39936</v>
      </c>
      <c r="B11" s="10" t="s">
        <v>28</v>
      </c>
      <c r="C11" s="10" t="s">
        <v>29</v>
      </c>
      <c r="D11" s="11">
        <v>26</v>
      </c>
      <c r="E11" s="12">
        <v>75.569999999999993</v>
      </c>
      <c r="F11" s="13">
        <v>0.03</v>
      </c>
      <c r="G11" s="10" t="s">
        <v>12</v>
      </c>
      <c r="H11" s="13">
        <v>28.24</v>
      </c>
      <c r="I11" s="15" t="s">
        <v>30</v>
      </c>
      <c r="J11" s="13" t="s">
        <v>31</v>
      </c>
    </row>
    <row r="12" spans="1:11" x14ac:dyDescent="0.3">
      <c r="A12" s="9">
        <v>40307</v>
      </c>
      <c r="B12" s="10" t="s">
        <v>32</v>
      </c>
      <c r="C12" s="10" t="s">
        <v>11</v>
      </c>
      <c r="D12" s="11">
        <v>28</v>
      </c>
      <c r="E12" s="12">
        <v>51.53</v>
      </c>
      <c r="F12" s="13">
        <v>0.03</v>
      </c>
      <c r="G12" s="10" t="s">
        <v>17</v>
      </c>
      <c r="H12" s="13">
        <v>0.35</v>
      </c>
      <c r="I12" s="10" t="s">
        <v>18</v>
      </c>
      <c r="J12" s="13" t="s">
        <v>14</v>
      </c>
    </row>
    <row r="13" spans="1:11" x14ac:dyDescent="0.3">
      <c r="A13" s="9">
        <v>39938</v>
      </c>
      <c r="B13" s="10" t="s">
        <v>15</v>
      </c>
      <c r="C13" s="10" t="s">
        <v>16</v>
      </c>
      <c r="D13" s="11">
        <v>29</v>
      </c>
      <c r="E13" s="12">
        <v>575.11</v>
      </c>
      <c r="F13" s="13">
        <v>0.02</v>
      </c>
      <c r="G13" s="10" t="s">
        <v>12</v>
      </c>
      <c r="H13" s="13">
        <v>71.75</v>
      </c>
      <c r="I13" s="10" t="s">
        <v>18</v>
      </c>
      <c r="J13" s="13" t="s">
        <v>14</v>
      </c>
    </row>
    <row r="14" spans="1:11" x14ac:dyDescent="0.3">
      <c r="A14" s="9">
        <v>39562</v>
      </c>
      <c r="B14" s="10" t="s">
        <v>25</v>
      </c>
      <c r="C14" s="10" t="s">
        <v>11</v>
      </c>
      <c r="D14" s="11">
        <v>30</v>
      </c>
      <c r="E14" s="12">
        <v>288.56</v>
      </c>
      <c r="F14" s="13">
        <v>0.03</v>
      </c>
      <c r="G14" s="10" t="s">
        <v>12</v>
      </c>
      <c r="H14" s="13">
        <v>60.72</v>
      </c>
      <c r="I14" s="10" t="s">
        <v>13</v>
      </c>
      <c r="J14" s="13" t="s">
        <v>14</v>
      </c>
    </row>
    <row r="15" spans="1:11" x14ac:dyDescent="0.3">
      <c r="A15" s="9">
        <v>39934</v>
      </c>
      <c r="B15" s="10" t="s">
        <v>33</v>
      </c>
      <c r="C15" s="10" t="s">
        <v>34</v>
      </c>
      <c r="D15" s="11">
        <v>32</v>
      </c>
      <c r="E15" s="12">
        <v>3812.73</v>
      </c>
      <c r="F15" s="13">
        <v>0.02</v>
      </c>
      <c r="G15" s="10" t="s">
        <v>12</v>
      </c>
      <c r="H15" s="13">
        <v>1470.3</v>
      </c>
      <c r="I15" s="10" t="s">
        <v>21</v>
      </c>
      <c r="J15" s="13" t="s">
        <v>14</v>
      </c>
    </row>
    <row r="16" spans="1:11" x14ac:dyDescent="0.3">
      <c r="A16" s="9">
        <v>40663</v>
      </c>
      <c r="B16" s="10" t="s">
        <v>35</v>
      </c>
      <c r="C16" s="10" t="s">
        <v>16</v>
      </c>
      <c r="D16" s="11">
        <v>37</v>
      </c>
      <c r="E16" s="12">
        <v>4158.1234999999997</v>
      </c>
      <c r="F16" s="13">
        <v>0.01</v>
      </c>
      <c r="G16" s="10" t="s">
        <v>12</v>
      </c>
      <c r="H16" s="13">
        <v>1228.8900000000001</v>
      </c>
      <c r="I16" s="10" t="s">
        <v>18</v>
      </c>
      <c r="J16" s="13" t="s">
        <v>36</v>
      </c>
    </row>
    <row r="17" spans="1:10" x14ac:dyDescent="0.3">
      <c r="A17" s="9">
        <v>39937</v>
      </c>
      <c r="B17" s="10" t="s">
        <v>37</v>
      </c>
      <c r="C17" s="10" t="s">
        <v>20</v>
      </c>
      <c r="D17" s="11">
        <v>41</v>
      </c>
      <c r="E17" s="12">
        <v>108.15</v>
      </c>
      <c r="F17" s="13">
        <v>0.09</v>
      </c>
      <c r="G17" s="10" t="s">
        <v>12</v>
      </c>
      <c r="H17" s="13">
        <v>7.57</v>
      </c>
      <c r="I17" s="10" t="s">
        <v>13</v>
      </c>
      <c r="J17" s="13" t="s">
        <v>31</v>
      </c>
    </row>
    <row r="18" spans="1:10" x14ac:dyDescent="0.3">
      <c r="A18" s="9">
        <v>40671</v>
      </c>
      <c r="B18" s="10" t="s">
        <v>32</v>
      </c>
      <c r="C18" s="10" t="s">
        <v>11</v>
      </c>
      <c r="D18" s="11">
        <v>42</v>
      </c>
      <c r="E18" s="12">
        <v>1186.06</v>
      </c>
      <c r="F18" s="13">
        <v>0.09</v>
      </c>
      <c r="G18" s="10" t="s">
        <v>12</v>
      </c>
      <c r="H18" s="13">
        <v>511.69</v>
      </c>
      <c r="I18" s="10" t="s">
        <v>18</v>
      </c>
      <c r="J18" s="13" t="s">
        <v>14</v>
      </c>
    </row>
    <row r="19" spans="1:10" x14ac:dyDescent="0.3">
      <c r="A19" s="9">
        <v>39940</v>
      </c>
      <c r="B19" s="10" t="s">
        <v>38</v>
      </c>
      <c r="C19" s="10" t="s">
        <v>34</v>
      </c>
      <c r="D19" s="11">
        <v>46</v>
      </c>
      <c r="E19" s="12">
        <v>2484.7455</v>
      </c>
      <c r="F19" s="13">
        <v>0.1</v>
      </c>
      <c r="G19" s="10" t="s">
        <v>12</v>
      </c>
      <c r="H19" s="13">
        <v>657.48</v>
      </c>
      <c r="I19" s="10" t="s">
        <v>13</v>
      </c>
      <c r="J19" s="13" t="s">
        <v>36</v>
      </c>
    </row>
    <row r="20" spans="1:10" x14ac:dyDescent="0.3">
      <c r="A20" s="9">
        <v>40887</v>
      </c>
      <c r="B20" s="10" t="s">
        <v>39</v>
      </c>
      <c r="C20" s="10" t="s">
        <v>20</v>
      </c>
      <c r="D20" s="11">
        <v>46</v>
      </c>
      <c r="E20" s="12">
        <v>7804.53</v>
      </c>
      <c r="F20" s="13">
        <v>0.05</v>
      </c>
      <c r="G20" s="10" t="s">
        <v>12</v>
      </c>
      <c r="H20" s="13">
        <v>2057.17</v>
      </c>
      <c r="I20" s="10" t="s">
        <v>40</v>
      </c>
      <c r="J20" s="13" t="s">
        <v>36</v>
      </c>
    </row>
    <row r="21" spans="1:10" x14ac:dyDescent="0.3">
      <c r="A21" s="9">
        <v>40828</v>
      </c>
      <c r="B21" s="10" t="s">
        <v>39</v>
      </c>
      <c r="C21" s="10" t="s">
        <v>20</v>
      </c>
      <c r="D21" s="11">
        <v>48</v>
      </c>
      <c r="E21" s="12">
        <v>90.05</v>
      </c>
      <c r="F21" s="13">
        <v>0.03</v>
      </c>
      <c r="G21" s="10" t="s">
        <v>12</v>
      </c>
      <c r="H21" s="13">
        <v>-107</v>
      </c>
      <c r="I21" s="10" t="s">
        <v>40</v>
      </c>
      <c r="J21" s="13" t="s">
        <v>36</v>
      </c>
    </row>
    <row r="24" spans="1:10" x14ac:dyDescent="0.3">
      <c r="B24" s="16" t="s">
        <v>0</v>
      </c>
      <c r="C24" s="15" t="s">
        <v>1</v>
      </c>
      <c r="D24" s="17" t="s">
        <v>4</v>
      </c>
      <c r="E24" s="15" t="s">
        <v>8</v>
      </c>
      <c r="F24" s="15" t="s">
        <v>9</v>
      </c>
      <c r="I24" s="18" t="s">
        <v>41</v>
      </c>
    </row>
    <row r="25" spans="1:10" x14ac:dyDescent="0.3">
      <c r="B25" s="16"/>
      <c r="C25" s="15" t="s">
        <v>22</v>
      </c>
      <c r="D25" s="17"/>
      <c r="E25" s="15"/>
      <c r="F25" s="19" t="str">
        <f>VLOOKUP(B5,B1:J21,9,FALSE)</f>
        <v>Small Business</v>
      </c>
      <c r="I25" s="14" t="s">
        <v>42</v>
      </c>
    </row>
    <row r="26" spans="1:10" x14ac:dyDescent="0.3">
      <c r="A26" s="16"/>
      <c r="B26" s="16">
        <v>39940</v>
      </c>
      <c r="C26" s="15"/>
      <c r="D26" s="20">
        <f>VLOOKUP(A19,A2:J21,5,FALSE)</f>
        <v>2484.7455</v>
      </c>
      <c r="E26" s="15"/>
      <c r="F26" s="15"/>
      <c r="I26" s="14" t="s">
        <v>43</v>
      </c>
    </row>
    <row r="27" spans="1:10" x14ac:dyDescent="0.3">
      <c r="B27" s="16"/>
      <c r="C27" s="19" t="str">
        <f>_xlfn.XLOOKUP(E16,E2:E21,B2:B21,0,0)</f>
        <v>Keith Dawkins</v>
      </c>
      <c r="D27" s="17">
        <v>4158.1234999999997</v>
      </c>
      <c r="E27" s="15"/>
      <c r="F27" s="15"/>
      <c r="I27" s="14" t="s">
        <v>44</v>
      </c>
    </row>
    <row r="28" spans="1:10" x14ac:dyDescent="0.3">
      <c r="B28" s="16"/>
      <c r="C28" s="15" t="s">
        <v>30</v>
      </c>
      <c r="D28" s="17"/>
      <c r="E28" s="19" t="str">
        <f>_xlfn.XLOOKUP(I11,I2:I21,B2:B21,0,0)</f>
        <v>Craig Yedwab</v>
      </c>
      <c r="F28" s="15"/>
      <c r="I28" s="14" t="s">
        <v>45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2026-07-04T15:02:32Z</dcterms:created>
  <dcterms:modified xsi:type="dcterms:W3CDTF">2026-07-04T15:03:52Z</dcterms:modified>
</cp:coreProperties>
</file>